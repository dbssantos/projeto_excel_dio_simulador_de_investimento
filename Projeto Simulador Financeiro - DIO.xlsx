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\Documents\CURSOS\Excel\"/>
    </mc:Choice>
  </mc:AlternateContent>
  <xr:revisionPtr revIDLastSave="0" documentId="8_{1CAA598D-B0B5-46DE-B444-70D72709CBF0}" xr6:coauthVersionLast="47" xr6:coauthVersionMax="47" xr10:uidLastSave="{00000000-0000-0000-0000-000000000000}"/>
  <bookViews>
    <workbookView xWindow="-120" yWindow="-120" windowWidth="20730" windowHeight="11160" xr2:uid="{EE653F9F-BE7E-42E9-B6A0-9AF3EDFBD8B5}"/>
  </bookViews>
  <sheets>
    <sheet name="Planilha1" sheetId="1" r:id="rId1"/>
    <sheet name="Planilha2" sheetId="2" r:id="rId2"/>
  </sheets>
  <definedNames>
    <definedName name="APORTE">Planilha1!$E$18</definedName>
    <definedName name="patrimonio">Planilha1!$E$21</definedName>
    <definedName name="qntd_anos">Planilha1!$E$19</definedName>
    <definedName name="rendimento_carteira">Planilha1!$E$12</definedName>
    <definedName name="tx_mensal">Planilha1!$E$20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1" l="1"/>
  <c r="D40" i="1"/>
  <c r="D41" i="1"/>
  <c r="D42" i="1"/>
  <c r="D43" i="1"/>
  <c r="D44" i="1"/>
  <c r="D39" i="1"/>
  <c r="I4" i="2"/>
  <c r="B10" i="2"/>
  <c r="B11" i="2"/>
  <c r="B12" i="2"/>
  <c r="B13" i="2"/>
  <c r="B14" i="2"/>
  <c r="B15" i="2"/>
  <c r="B16" i="2"/>
  <c r="B17" i="2"/>
  <c r="B18" i="2"/>
  <c r="B19" i="2"/>
  <c r="B20" i="2"/>
  <c r="B21" i="2"/>
  <c r="B5" i="2"/>
  <c r="B6" i="2"/>
  <c r="B7" i="2"/>
  <c r="B8" i="2"/>
  <c r="B9" i="2"/>
  <c r="B4" i="2"/>
  <c r="E13" i="1"/>
  <c r="E18" i="1" s="1"/>
  <c r="E21" i="1" l="1"/>
  <c r="E22" i="1" s="1"/>
  <c r="D30" i="1"/>
  <c r="E30" i="1" s="1"/>
  <c r="D27" i="1"/>
  <c r="E27" i="1" s="1"/>
  <c r="D26" i="1"/>
  <c r="E26" i="1" s="1"/>
  <c r="D28" i="1"/>
  <c r="E28" i="1" s="1"/>
  <c r="D29" i="1"/>
  <c r="E29" i="1" s="1"/>
  <c r="E39" i="1"/>
  <c r="E44" i="1"/>
  <c r="E40" i="1"/>
  <c r="E43" i="1"/>
  <c r="E42" i="1"/>
  <c r="E41" i="1"/>
  <c r="E45" i="1" l="1"/>
</calcChain>
</file>

<file path=xl/sharedStrings.xml><?xml version="1.0" encoding="utf-8"?>
<sst xmlns="http://schemas.openxmlformats.org/spreadsheetml/2006/main" count="73" uniqueCount="38">
  <si>
    <t>INVESTIMENTO MENSAL</t>
  </si>
  <si>
    <t>DIO INVESTIMENTOS</t>
  </si>
  <si>
    <t>Quanto investir por mês?</t>
  </si>
  <si>
    <t>Por quantos anos?</t>
  </si>
  <si>
    <t>Taxa de rendimento mensal?</t>
  </si>
  <si>
    <t>Patrimônio acumulado?</t>
  </si>
  <si>
    <t>CÉNARIOS</t>
  </si>
  <si>
    <t>2 ANOS</t>
  </si>
  <si>
    <t>5 ANOS</t>
  </si>
  <si>
    <t>10 ANOS</t>
  </si>
  <si>
    <t>20 ANOS</t>
  </si>
  <si>
    <t>30 ANOS</t>
  </si>
  <si>
    <t>DIVIDENDOS</t>
  </si>
  <si>
    <t>CONFIGURAÇÕES</t>
  </si>
  <si>
    <t>Salário</t>
  </si>
  <si>
    <t>Rendimento da Carteira</t>
  </si>
  <si>
    <t>Sugestão de investimento</t>
  </si>
  <si>
    <t>PERFIL</t>
  </si>
  <si>
    <t>Valor investido por mês</t>
  </si>
  <si>
    <t>tipo de fii</t>
  </si>
  <si>
    <t>Percentual Sugerido</t>
  </si>
  <si>
    <t>Valores</t>
  </si>
  <si>
    <t>Papel</t>
  </si>
  <si>
    <t>Tijolo</t>
  </si>
  <si>
    <t>Hibridos</t>
  </si>
  <si>
    <t>Desenvolvimento</t>
  </si>
  <si>
    <t>Hotelarias</t>
  </si>
  <si>
    <t>perfil</t>
  </si>
  <si>
    <t>Conservador</t>
  </si>
  <si>
    <t>percentual</t>
  </si>
  <si>
    <t>FOF's</t>
  </si>
  <si>
    <t>Moderado</t>
  </si>
  <si>
    <t>Agressivo</t>
  </si>
  <si>
    <t>Chave</t>
  </si>
  <si>
    <t>%</t>
  </si>
  <si>
    <t>Moderado-Tijolo</t>
  </si>
  <si>
    <t>Tipo de Fii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</si>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</sst>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168" formatCode="&quot;R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3"/>
      <name val="Arial Black"/>
      <family val="2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/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1"/>
      </left>
      <right/>
      <top style="medium">
        <color theme="2" tint="-9.9948118533890809E-2"/>
      </top>
      <bottom style="medium">
        <color theme="1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1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1"/>
      </left>
      <right/>
      <top/>
      <bottom style="medium">
        <color theme="2" tint="-9.9948118533890809E-2"/>
      </bottom>
      <diagonal/>
    </border>
    <border>
      <left/>
      <right/>
      <top/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/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Border="1"/>
    <xf numFmtId="0" fontId="2" fillId="3" borderId="0" xfId="0" applyFont="1" applyFill="1"/>
    <xf numFmtId="0" fontId="7" fillId="3" borderId="0" xfId="0" applyFont="1" applyFill="1" applyBorder="1" applyAlignment="1"/>
    <xf numFmtId="0" fontId="3" fillId="3" borderId="0" xfId="0" applyFont="1" applyFill="1" applyAlignment="1"/>
    <xf numFmtId="0" fontId="6" fillId="8" borderId="6" xfId="0" applyFont="1" applyFill="1" applyBorder="1" applyAlignment="1">
      <alignment horizontal="left" indent="2"/>
    </xf>
    <xf numFmtId="0" fontId="6" fillId="8" borderId="8" xfId="0" applyFont="1" applyFill="1" applyBorder="1" applyAlignment="1">
      <alignment horizontal="left" indent="2"/>
    </xf>
    <xf numFmtId="0" fontId="6" fillId="8" borderId="10" xfId="0" applyFont="1" applyFill="1" applyBorder="1" applyAlignment="1">
      <alignment horizontal="left" indent="2"/>
    </xf>
    <xf numFmtId="0" fontId="6" fillId="8" borderId="16" xfId="0" applyFont="1" applyFill="1" applyBorder="1" applyAlignment="1">
      <alignment horizontal="left" indent="2"/>
    </xf>
    <xf numFmtId="0" fontId="6" fillId="8" borderId="2" xfId="0" applyFont="1" applyFill="1" applyBorder="1" applyAlignment="1">
      <alignment horizontal="left" indent="2"/>
    </xf>
    <xf numFmtId="0" fontId="6" fillId="8" borderId="15" xfId="0" applyFont="1" applyFill="1" applyBorder="1" applyAlignment="1">
      <alignment horizontal="left" indent="2"/>
    </xf>
    <xf numFmtId="0" fontId="6" fillId="8" borderId="4" xfId="0" applyFont="1" applyFill="1" applyBorder="1" applyAlignment="1">
      <alignment horizontal="left" indent="2"/>
    </xf>
    <xf numFmtId="0" fontId="6" fillId="8" borderId="13" xfId="0" applyFont="1" applyFill="1" applyBorder="1" applyAlignment="1">
      <alignment horizontal="left" indent="2"/>
    </xf>
    <xf numFmtId="0" fontId="6" fillId="8" borderId="14" xfId="0" applyFont="1" applyFill="1" applyBorder="1" applyAlignment="1">
      <alignment horizontal="left" indent="2"/>
    </xf>
    <xf numFmtId="0" fontId="6" fillId="8" borderId="6" xfId="0" applyFont="1" applyFill="1" applyBorder="1" applyAlignment="1">
      <alignment horizontal="left" indent="2"/>
    </xf>
    <xf numFmtId="0" fontId="6" fillId="8" borderId="3" xfId="0" applyFont="1" applyFill="1" applyBorder="1" applyAlignment="1">
      <alignment horizontal="left" indent="2"/>
    </xf>
    <xf numFmtId="0" fontId="6" fillId="8" borderId="8" xfId="0" applyFont="1" applyFill="1" applyBorder="1" applyAlignment="1">
      <alignment horizontal="left" indent="2"/>
    </xf>
    <xf numFmtId="0" fontId="6" fillId="8" borderId="5" xfId="0" applyFont="1" applyFill="1" applyBorder="1" applyAlignment="1">
      <alignment horizontal="left" indent="2"/>
    </xf>
    <xf numFmtId="0" fontId="6" fillId="8" borderId="10" xfId="0" applyFont="1" applyFill="1" applyBorder="1" applyAlignment="1">
      <alignment horizontal="left" indent="2"/>
    </xf>
    <xf numFmtId="0" fontId="6" fillId="8" borderId="11" xfId="0" applyFont="1" applyFill="1" applyBorder="1" applyAlignment="1">
      <alignment horizontal="left" indent="2"/>
    </xf>
    <xf numFmtId="9" fontId="0" fillId="0" borderId="1" xfId="0" applyNumberFormat="1" applyBorder="1"/>
    <xf numFmtId="0" fontId="0" fillId="0" borderId="1" xfId="0" applyBorder="1"/>
    <xf numFmtId="0" fontId="0" fillId="0" borderId="1" xfId="0" applyFont="1" applyBorder="1"/>
    <xf numFmtId="9" fontId="0" fillId="0" borderId="0" xfId="0" applyNumberFormat="1" applyBorder="1"/>
    <xf numFmtId="0" fontId="0" fillId="0" borderId="0" xfId="0" applyFont="1" applyBorder="1"/>
    <xf numFmtId="9" fontId="0" fillId="0" borderId="17" xfId="0" applyNumberFormat="1" applyBorder="1"/>
    <xf numFmtId="0" fontId="0" fillId="0" borderId="17" xfId="0" applyBorder="1"/>
    <xf numFmtId="0" fontId="0" fillId="0" borderId="17" xfId="0" applyFont="1" applyBorder="1"/>
    <xf numFmtId="9" fontId="0" fillId="0" borderId="0" xfId="2" applyFont="1"/>
    <xf numFmtId="0" fontId="6" fillId="8" borderId="21" xfId="0" applyFont="1" applyFill="1" applyBorder="1" applyAlignment="1">
      <alignment horizontal="left" indent="2"/>
    </xf>
    <xf numFmtId="0" fontId="4" fillId="8" borderId="24" xfId="0" applyFont="1" applyFill="1" applyBorder="1" applyAlignment="1">
      <alignment horizontal="left" indent="2"/>
    </xf>
    <xf numFmtId="0" fontId="4" fillId="8" borderId="26" xfId="0" applyFont="1" applyFill="1" applyBorder="1" applyAlignment="1">
      <alignment horizontal="left" indent="2"/>
    </xf>
    <xf numFmtId="0" fontId="4" fillId="8" borderId="28" xfId="0" applyFont="1" applyFill="1" applyBorder="1" applyAlignment="1">
      <alignment horizontal="left" indent="2"/>
    </xf>
    <xf numFmtId="0" fontId="8" fillId="6" borderId="30" xfId="0" applyFont="1" applyFill="1" applyBorder="1"/>
    <xf numFmtId="0" fontId="8" fillId="6" borderId="31" xfId="0" applyFont="1" applyFill="1" applyBorder="1"/>
    <xf numFmtId="168" fontId="9" fillId="6" borderId="32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7" fillId="6" borderId="32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32" xfId="0" applyFont="1" applyFill="1" applyBorder="1" applyAlignment="1"/>
    <xf numFmtId="0" fontId="7" fillId="4" borderId="32" xfId="0" applyFont="1" applyFill="1" applyBorder="1" applyAlignment="1">
      <alignment horizontal="center"/>
    </xf>
    <xf numFmtId="0" fontId="7" fillId="6" borderId="30" xfId="0" applyFont="1" applyFill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9" fontId="5" fillId="0" borderId="20" xfId="0" applyNumberFormat="1" applyFont="1" applyBorder="1" applyAlignment="1">
      <alignment horizontal="center"/>
    </xf>
    <xf numFmtId="9" fontId="5" fillId="0" borderId="19" xfId="0" applyNumberFormat="1" applyFont="1" applyBorder="1" applyAlignment="1">
      <alignment horizontal="center"/>
    </xf>
    <xf numFmtId="168" fontId="5" fillId="0" borderId="25" xfId="0" applyNumberFormat="1" applyFont="1" applyBorder="1" applyAlignment="1">
      <alignment horizontal="center"/>
    </xf>
    <xf numFmtId="168" fontId="5" fillId="0" borderId="27" xfId="0" applyNumberFormat="1" applyFont="1" applyBorder="1" applyAlignment="1">
      <alignment horizontal="center"/>
    </xf>
    <xf numFmtId="168" fontId="5" fillId="0" borderId="29" xfId="0" applyNumberFormat="1" applyFont="1" applyBorder="1" applyAlignment="1">
      <alignment horizontal="center"/>
    </xf>
    <xf numFmtId="168" fontId="5" fillId="0" borderId="22" xfId="1" applyNumberFormat="1" applyFont="1" applyBorder="1" applyAlignment="1">
      <alignment horizontal="center"/>
    </xf>
    <xf numFmtId="168" fontId="5" fillId="0" borderId="23" xfId="1" applyNumberFormat="1" applyFont="1" applyBorder="1" applyAlignment="1">
      <alignment horizontal="center"/>
    </xf>
    <xf numFmtId="168" fontId="5" fillId="0" borderId="3" xfId="1" applyNumberFormat="1" applyFont="1" applyBorder="1" applyAlignment="1">
      <alignment horizontal="center"/>
    </xf>
    <xf numFmtId="168" fontId="5" fillId="0" borderId="5" xfId="1" applyNumberFormat="1" applyFont="1" applyBorder="1" applyAlignment="1">
      <alignment horizontal="center"/>
    </xf>
    <xf numFmtId="168" fontId="5" fillId="3" borderId="5" xfId="1" applyNumberFormat="1" applyFont="1" applyFill="1" applyBorder="1" applyAlignment="1">
      <alignment horizontal="center"/>
    </xf>
    <xf numFmtId="168" fontId="5" fillId="3" borderId="11" xfId="1" applyNumberFormat="1" applyFont="1" applyFill="1" applyBorder="1" applyAlignment="1">
      <alignment horizontal="center"/>
    </xf>
    <xf numFmtId="168" fontId="5" fillId="0" borderId="7" xfId="1" applyNumberFormat="1" applyFont="1" applyBorder="1" applyAlignment="1">
      <alignment horizontal="center"/>
    </xf>
    <xf numFmtId="168" fontId="5" fillId="0" borderId="9" xfId="1" applyNumberFormat="1" applyFont="1" applyBorder="1" applyAlignment="1">
      <alignment horizontal="center"/>
    </xf>
    <xf numFmtId="168" fontId="5" fillId="3" borderId="9" xfId="1" applyNumberFormat="1" applyFont="1" applyFill="1" applyBorder="1" applyAlignment="1">
      <alignment horizontal="center"/>
    </xf>
    <xf numFmtId="168" fontId="5" fillId="3" borderId="12" xfId="1" applyNumberFormat="1" applyFont="1" applyFill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8" fontId="5" fillId="3" borderId="9" xfId="0" applyNumberFormat="1" applyFont="1" applyFill="1" applyBorder="1" applyAlignment="1">
      <alignment horizontal="center"/>
    </xf>
    <xf numFmtId="8" fontId="5" fillId="3" borderId="12" xfId="0" applyNumberFormat="1" applyFont="1" applyFill="1" applyBorder="1" applyAlignment="1">
      <alignment horizontal="center"/>
    </xf>
    <xf numFmtId="168" fontId="5" fillId="7" borderId="7" xfId="1" applyNumberFormat="1" applyFont="1" applyFill="1" applyBorder="1" applyAlignment="1">
      <alignment horizontal="center"/>
    </xf>
    <xf numFmtId="9" fontId="5" fillId="7" borderId="9" xfId="0" applyNumberFormat="1" applyFont="1" applyFill="1" applyBorder="1" applyAlignment="1">
      <alignment horizontal="center"/>
    </xf>
    <xf numFmtId="168" fontId="5" fillId="7" borderId="12" xfId="1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6526385566992"/>
          <c:y val="7.6955238712726706E-2"/>
          <c:w val="0.57891719945263254"/>
          <c:h val="0.849853242328911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96-4C2F-8884-13565CBB0A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96-4C2F-8884-13565CBB0A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Planilha1!$C$39:$C$44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Desenvolvimento</c:v>
                </c:pt>
                <c:pt idx="4">
                  <c:v>FOF's</c:v>
                </c:pt>
                <c:pt idx="5">
                  <c:v>Hotelarias</c:v>
                </c:pt>
              </c:strCache>
            </c:strRef>
          </c:cat>
          <c:val>
            <c:numRef>
              <c:f>Planilha1!$D$39:$D$44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6-4C2F-8884-13565CBB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188348251340375E-2"/>
          <c:y val="0.13718081425018172"/>
          <c:w val="0.211771272180721"/>
          <c:h val="0.7356757478766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723900</xdr:colOff>
      <xdr:row>1</xdr:row>
      <xdr:rowOff>180975</xdr:rowOff>
    </xdr:from>
    <xdr:to>
      <xdr:col>2</xdr:col>
      <xdr:colOff>1323975</xdr:colOff>
      <xdr:row>5</xdr:row>
      <xdr:rowOff>19050</xdr:rowOff>
    </xdr:to>
    <xdr:pic>
      <xdr:nvPicPr>
        <xdr:cNvPr id="3" name="Gráfico 2" descr="Banco com preenchimento sólido">
          <a:extLst>
            <a:ext uri="{FF2B5EF4-FFF2-40B4-BE49-F238E27FC236}">
              <a16:creationId xmlns:a16="http://schemas.microsoft.com/office/drawing/2014/main" id="{94A02909-B558-8DA3-904E-FD6A07C4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371475"/>
          <a:ext cx="600075" cy="600075"/>
        </a:xfrm>
        <a:prstGeom prst="rect">
          <a:avLst/>
        </a:prstGeom>
      </xdr:spPr>
    </xdr:pic>
    <xdr:clientData/>
  </xdr:twoCellAnchor>
  <xdr:twoCellAnchor>
    <xdr:from>
      <xdr:col>1</xdr:col>
      <xdr:colOff>583406</xdr:colOff>
      <xdr:row>46</xdr:row>
      <xdr:rowOff>30954</xdr:rowOff>
    </xdr:from>
    <xdr:to>
      <xdr:col>5</xdr:col>
      <xdr:colOff>0</xdr:colOff>
      <xdr:row>66</xdr:row>
      <xdr:rowOff>83343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D47AC9-812B-D935-0F56-B9A332F78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CE6D-E3B3-451C-82A2-50EF9832CFEE}">
  <sheetPr>
    <pageSetUpPr autoPageBreaks="0"/>
  </sheetPr>
  <dimension ref="B3:L75"/>
  <sheetViews>
    <sheetView showGridLines="0" tabSelected="1" topLeftCell="A47" zoomScale="80" zoomScaleNormal="80" workbookViewId="0">
      <selection activeCell="F38" sqref="F38"/>
    </sheetView>
  </sheetViews>
  <sheetFormatPr defaultColWidth="0" defaultRowHeight="15" x14ac:dyDescent="0.25"/>
  <cols>
    <col min="1" max="2" width="9.140625" customWidth="1"/>
    <col min="3" max="3" width="53.140625" customWidth="1"/>
    <col min="4" max="4" width="38.85546875" customWidth="1"/>
    <col min="5" max="5" width="24.140625" bestFit="1" customWidth="1"/>
    <col min="6" max="6" width="7.85546875" customWidth="1"/>
    <col min="7" max="7" width="11.7109375" hidden="1" customWidth="1"/>
    <col min="8" max="12" width="9.140625" hidden="1" customWidth="1"/>
    <col min="13" max="16384" width="9.140625" hidden="1"/>
  </cols>
  <sheetData>
    <row r="3" spans="3:12" ht="15" customHeight="1" x14ac:dyDescent="0.8">
      <c r="C3" s="2" t="s">
        <v>1</v>
      </c>
      <c r="D3" s="2"/>
      <c r="E3" s="2"/>
      <c r="F3" s="8"/>
      <c r="G3" s="8"/>
      <c r="H3" s="8"/>
      <c r="I3" s="8"/>
      <c r="J3" s="8"/>
      <c r="K3" s="8"/>
      <c r="L3" s="8"/>
    </row>
    <row r="4" spans="3:12" ht="15" customHeight="1" x14ac:dyDescent="0.8">
      <c r="C4" s="2"/>
      <c r="D4" s="2"/>
      <c r="E4" s="2"/>
      <c r="F4" s="8"/>
      <c r="G4" s="8"/>
      <c r="H4" s="8"/>
      <c r="I4" s="8"/>
      <c r="J4" s="8"/>
      <c r="K4" s="8"/>
      <c r="L4" s="8"/>
    </row>
    <row r="5" spans="3:12" ht="15" customHeight="1" x14ac:dyDescent="0.8">
      <c r="C5" s="2"/>
      <c r="D5" s="2"/>
      <c r="E5" s="2"/>
      <c r="F5" s="8"/>
      <c r="G5" s="8"/>
      <c r="H5" s="8"/>
      <c r="I5" s="8"/>
      <c r="J5" s="8"/>
      <c r="K5" s="8"/>
      <c r="L5" s="8"/>
    </row>
    <row r="7" spans="3:12" x14ac:dyDescent="0.25">
      <c r="C7" s="3"/>
      <c r="D7" s="3"/>
      <c r="E7" s="3"/>
      <c r="F7" s="4"/>
      <c r="G7" s="4"/>
      <c r="H7" s="4"/>
      <c r="I7" s="4"/>
      <c r="J7" s="4"/>
      <c r="K7" s="4"/>
      <c r="L7" s="4"/>
    </row>
    <row r="9" spans="3:12" ht="15.75" thickBot="1" x14ac:dyDescent="0.3"/>
    <row r="10" spans="3:12" ht="29.25" thickBot="1" x14ac:dyDescent="0.5">
      <c r="C10" s="49" t="s">
        <v>13</v>
      </c>
      <c r="D10" s="43"/>
      <c r="E10" s="44"/>
    </row>
    <row r="11" spans="3:12" ht="19.5" thickBot="1" x14ac:dyDescent="0.35">
      <c r="C11" s="18" t="s">
        <v>14</v>
      </c>
      <c r="D11" s="19"/>
      <c r="E11" s="71">
        <v>5000</v>
      </c>
    </row>
    <row r="12" spans="3:12" ht="19.5" thickBot="1" x14ac:dyDescent="0.35">
      <c r="C12" s="20" t="s">
        <v>15</v>
      </c>
      <c r="D12" s="21"/>
      <c r="E12" s="72">
        <v>0.01</v>
      </c>
    </row>
    <row r="13" spans="3:12" ht="19.5" thickBot="1" x14ac:dyDescent="0.35">
      <c r="C13" s="22" t="s">
        <v>16</v>
      </c>
      <c r="D13" s="23"/>
      <c r="E13" s="73">
        <f>E11*30%</f>
        <v>1500</v>
      </c>
    </row>
    <row r="16" spans="3:12" ht="15.75" thickBot="1" x14ac:dyDescent="0.3">
      <c r="F16" s="5"/>
    </row>
    <row r="17" spans="2:12" ht="38.25" customHeight="1" thickBot="1" x14ac:dyDescent="0.5">
      <c r="C17" s="45" t="s">
        <v>0</v>
      </c>
      <c r="D17" s="46"/>
      <c r="E17" s="48"/>
      <c r="H17" s="4"/>
      <c r="I17" s="4"/>
      <c r="J17" s="4"/>
      <c r="K17" s="4"/>
      <c r="L17" s="4"/>
    </row>
    <row r="18" spans="2:12" ht="19.5" thickBot="1" x14ac:dyDescent="0.35">
      <c r="C18" s="12" t="s">
        <v>2</v>
      </c>
      <c r="D18" s="13"/>
      <c r="E18" s="66">
        <f>$E$13</f>
        <v>1500</v>
      </c>
    </row>
    <row r="19" spans="2:12" ht="19.5" thickBot="1" x14ac:dyDescent="0.35">
      <c r="C19" s="14" t="s">
        <v>3</v>
      </c>
      <c r="D19" s="15"/>
      <c r="E19" s="67">
        <v>5</v>
      </c>
    </row>
    <row r="20" spans="2:12" ht="19.5" thickBot="1" x14ac:dyDescent="0.35">
      <c r="C20" s="14" t="s">
        <v>4</v>
      </c>
      <c r="D20" s="15"/>
      <c r="E20" s="68">
        <v>1.0789999999999999E-2</v>
      </c>
    </row>
    <row r="21" spans="2:12" ht="19.5" thickBot="1" x14ac:dyDescent="0.35">
      <c r="C21" s="14" t="s">
        <v>5</v>
      </c>
      <c r="D21" s="15"/>
      <c r="E21" s="69">
        <f>FV(tx_mensal,qntd_anos*12,APORTE)*-1</f>
        <v>125665.37099773147</v>
      </c>
    </row>
    <row r="22" spans="2:12" ht="19.5" thickBot="1" x14ac:dyDescent="0.35">
      <c r="C22" s="16" t="s">
        <v>2</v>
      </c>
      <c r="D22" s="17"/>
      <c r="E22" s="70">
        <f>patrimonio*rendimento_carteira</f>
        <v>1256.6537099773147</v>
      </c>
      <c r="F22" s="5"/>
      <c r="G22" s="5"/>
      <c r="H22" s="5"/>
    </row>
    <row r="24" spans="2:12" ht="29.25" thickBot="1" x14ac:dyDescent="0.5">
      <c r="F24" s="7"/>
    </row>
    <row r="25" spans="2:12" ht="29.25" thickBot="1" x14ac:dyDescent="0.5">
      <c r="B25" s="6">
        <v>2</v>
      </c>
      <c r="C25" s="45" t="s">
        <v>6</v>
      </c>
      <c r="D25" s="46"/>
      <c r="E25" s="47" t="s">
        <v>12</v>
      </c>
    </row>
    <row r="26" spans="2:12" ht="19.5" thickBot="1" x14ac:dyDescent="0.35">
      <c r="B26" s="6">
        <v>5</v>
      </c>
      <c r="C26" s="9" t="s">
        <v>7</v>
      </c>
      <c r="D26" s="58">
        <f>FV($E$20,$B25*12,$E$18)*-1</f>
        <v>40841.440946467825</v>
      </c>
      <c r="E26" s="62">
        <f>D26*rendimento_carteira</f>
        <v>408.41440946467827</v>
      </c>
    </row>
    <row r="27" spans="2:12" ht="19.5" thickBot="1" x14ac:dyDescent="0.35">
      <c r="B27" s="6">
        <v>10</v>
      </c>
      <c r="C27" s="10" t="s">
        <v>8</v>
      </c>
      <c r="D27" s="59">
        <f>FV($E$20,$B26*12,$E$18)*-1</f>
        <v>125665.37099773147</v>
      </c>
      <c r="E27" s="63">
        <f>D27*rendimento_carteira</f>
        <v>1256.6537099773147</v>
      </c>
    </row>
    <row r="28" spans="2:12" ht="19.5" thickBot="1" x14ac:dyDescent="0.35">
      <c r="B28" s="6">
        <v>20</v>
      </c>
      <c r="C28" s="10" t="s">
        <v>9</v>
      </c>
      <c r="D28" s="59">
        <f>FV($E$20,$B27*12,$E$18)*-1</f>
        <v>364926.3187952583</v>
      </c>
      <c r="E28" s="63">
        <f>D28*rendimento_carteira</f>
        <v>3649.2631879525829</v>
      </c>
    </row>
    <row r="29" spans="2:12" ht="19.5" thickBot="1" x14ac:dyDescent="0.35">
      <c r="B29" s="6">
        <v>30</v>
      </c>
      <c r="C29" s="10" t="s">
        <v>10</v>
      </c>
      <c r="D29" s="60">
        <f>FV($E$20,$B28*12,$E$18)*-1</f>
        <v>1687797.600145621</v>
      </c>
      <c r="E29" s="64">
        <f>D29*rendimento_carteira</f>
        <v>16877.976001456209</v>
      </c>
    </row>
    <row r="30" spans="2:12" ht="19.5" thickBot="1" x14ac:dyDescent="0.35">
      <c r="C30" s="11" t="s">
        <v>11</v>
      </c>
      <c r="D30" s="61">
        <f>FV($E$20,$B29*12,$E$18)*-1</f>
        <v>6483254.4825070715</v>
      </c>
      <c r="E30" s="65">
        <f>D30*rendimento_carteira</f>
        <v>64832.54482507072</v>
      </c>
    </row>
    <row r="33" spans="3:5" ht="15.75" thickBot="1" x14ac:dyDescent="0.3"/>
    <row r="34" spans="3:5" ht="29.25" thickBot="1" x14ac:dyDescent="0.5">
      <c r="C34" s="40" t="s">
        <v>17</v>
      </c>
      <c r="D34" s="43" t="s">
        <v>31</v>
      </c>
      <c r="E34" s="44"/>
    </row>
    <row r="35" spans="3:5" ht="19.5" thickBot="1" x14ac:dyDescent="0.35">
      <c r="C35" s="33" t="s">
        <v>18</v>
      </c>
      <c r="D35" s="56">
        <f>500</f>
        <v>500</v>
      </c>
      <c r="E35" s="57"/>
    </row>
    <row r="37" spans="3:5" ht="15.75" thickBot="1" x14ac:dyDescent="0.3"/>
    <row r="38" spans="3:5" ht="29.25" thickBot="1" x14ac:dyDescent="0.5">
      <c r="C38" s="40" t="s">
        <v>36</v>
      </c>
      <c r="D38" s="41" t="s">
        <v>20</v>
      </c>
      <c r="E38" s="42" t="s">
        <v>21</v>
      </c>
    </row>
    <row r="39" spans="3:5" ht="21" x14ac:dyDescent="0.35">
      <c r="C39" s="34" t="s">
        <v>22</v>
      </c>
      <c r="D39" s="50">
        <f>VLOOKUP($D$34&amp;"-"&amp;C39,Planilha2!$B:$E,4,FALSE)</f>
        <v>0.32</v>
      </c>
      <c r="E39" s="53">
        <f>D39*$D$35</f>
        <v>160</v>
      </c>
    </row>
    <row r="40" spans="3:5" ht="21" x14ac:dyDescent="0.35">
      <c r="C40" s="35" t="s">
        <v>23</v>
      </c>
      <c r="D40" s="51">
        <f>VLOOKUP($D$34&amp;"-"&amp;C40,Planilha2!$B:$E,4,FALSE)</f>
        <v>0.35</v>
      </c>
      <c r="E40" s="54">
        <f>D40*$D$35</f>
        <v>175</v>
      </c>
    </row>
    <row r="41" spans="3:5" ht="21" x14ac:dyDescent="0.35">
      <c r="C41" s="35" t="s">
        <v>24</v>
      </c>
      <c r="D41" s="51">
        <f>VLOOKUP($D$34&amp;"-"&amp;C41,Planilha2!$B:$E,4,FALSE)</f>
        <v>0.08</v>
      </c>
      <c r="E41" s="54">
        <f t="shared" ref="E40:E44" si="0">D41*$D$35</f>
        <v>40</v>
      </c>
    </row>
    <row r="42" spans="3:5" ht="21" x14ac:dyDescent="0.35">
      <c r="C42" s="35" t="s">
        <v>25</v>
      </c>
      <c r="D42" s="51">
        <f>VLOOKUP($D$34&amp;"-"&amp;C42,Planilha2!$B:$E,4,FALSE)</f>
        <v>0.1</v>
      </c>
      <c r="E42" s="54">
        <f t="shared" si="0"/>
        <v>50</v>
      </c>
    </row>
    <row r="43" spans="3:5" ht="21" x14ac:dyDescent="0.35">
      <c r="C43" s="35" t="s">
        <v>30</v>
      </c>
      <c r="D43" s="51">
        <f>VLOOKUP($D$34&amp;"-"&amp;C43,Planilha2!$B:$E,4,FALSE)</f>
        <v>0.05</v>
      </c>
      <c r="E43" s="54">
        <f t="shared" si="0"/>
        <v>25</v>
      </c>
    </row>
    <row r="44" spans="3:5" ht="21.75" thickBot="1" x14ac:dyDescent="0.4">
      <c r="C44" s="36" t="s">
        <v>26</v>
      </c>
      <c r="D44" s="52">
        <f>VLOOKUP($D$34&amp;"-"&amp;C44,Planilha2!$B:$E,4,FALSE)</f>
        <v>0.1</v>
      </c>
      <c r="E44" s="55">
        <f t="shared" si="0"/>
        <v>50</v>
      </c>
    </row>
    <row r="45" spans="3:5" ht="19.5" thickBot="1" x14ac:dyDescent="0.35">
      <c r="C45" s="37"/>
      <c r="D45" s="38"/>
      <c r="E45" s="39">
        <f>SUM(E39:E44)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</sheetData>
  <mergeCells count="14">
    <mergeCell ref="D35:E35"/>
    <mergeCell ref="C10:E10"/>
    <mergeCell ref="C12:D12"/>
    <mergeCell ref="C13:D13"/>
    <mergeCell ref="D34:E34"/>
    <mergeCell ref="C18:D18"/>
    <mergeCell ref="C19:D19"/>
    <mergeCell ref="C20:D20"/>
    <mergeCell ref="C21:D21"/>
    <mergeCell ref="C22:D22"/>
    <mergeCell ref="C17:E17"/>
    <mergeCell ref="C25:D25"/>
    <mergeCell ref="C11:D11"/>
    <mergeCell ref="C3:E5"/>
  </mergeCells>
  <dataValidations count="1">
    <dataValidation type="list" allowBlank="1" showInputMessage="1" showErrorMessage="1" sqref="D34" xr:uid="{062698AE-CE4E-4D36-AA30-420D54A149E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ED6C-B9BD-4DE2-BA23-F017511C8E18}">
  <dimension ref="B3:I21"/>
  <sheetViews>
    <sheetView workbookViewId="0">
      <selection activeCell="F10" sqref="F10"/>
    </sheetView>
  </sheetViews>
  <sheetFormatPr defaultRowHeight="15" x14ac:dyDescent="0.25"/>
  <cols>
    <col min="1" max="1" width="16.140625" customWidth="1"/>
    <col min="2" max="2" width="28.42578125" bestFit="1" customWidth="1"/>
    <col min="3" max="4" width="16.140625" bestFit="1" customWidth="1"/>
    <col min="5" max="5" width="10.42578125" bestFit="1" customWidth="1"/>
    <col min="8" max="8" width="22.28515625" customWidth="1"/>
    <col min="9" max="9" width="15.28515625" customWidth="1"/>
  </cols>
  <sheetData>
    <row r="3" spans="2:9" x14ac:dyDescent="0.25">
      <c r="B3" s="74" t="s">
        <v>33</v>
      </c>
      <c r="C3" s="74" t="s">
        <v>27</v>
      </c>
      <c r="D3" s="74" t="s">
        <v>19</v>
      </c>
      <c r="E3" s="74" t="s">
        <v>29</v>
      </c>
      <c r="F3" s="1"/>
      <c r="G3" s="1"/>
      <c r="H3" s="74" t="s">
        <v>37</v>
      </c>
      <c r="I3" s="74" t="s">
        <v>34</v>
      </c>
    </row>
    <row r="4" spans="2:9" x14ac:dyDescent="0.25">
      <c r="B4" s="24" t="str">
        <f>C4&amp;"-"&amp;D4</f>
        <v>Conservador-Papel</v>
      </c>
      <c r="C4" s="25" t="s">
        <v>28</v>
      </c>
      <c r="D4" s="26" t="s">
        <v>22</v>
      </c>
      <c r="E4" s="24">
        <v>0.3</v>
      </c>
      <c r="H4" t="s">
        <v>35</v>
      </c>
      <c r="I4" s="32">
        <f>VLOOKUP(H4,$B:$E,4,FALSE)</f>
        <v>0.35</v>
      </c>
    </row>
    <row r="5" spans="2:9" x14ac:dyDescent="0.25">
      <c r="B5" s="27" t="str">
        <f t="shared" ref="B5:B21" si="0">C5&amp;"-"&amp;D5</f>
        <v>Conservador-Tijolo</v>
      </c>
      <c r="C5" s="5" t="s">
        <v>28</v>
      </c>
      <c r="D5" s="28" t="s">
        <v>23</v>
      </c>
      <c r="E5" s="27">
        <v>0.5</v>
      </c>
    </row>
    <row r="6" spans="2:9" x14ac:dyDescent="0.25">
      <c r="B6" s="27" t="str">
        <f t="shared" si="0"/>
        <v>Conservador-Hibridos</v>
      </c>
      <c r="C6" s="5" t="s">
        <v>28</v>
      </c>
      <c r="D6" s="28" t="s">
        <v>24</v>
      </c>
      <c r="E6" s="27">
        <v>0.1</v>
      </c>
    </row>
    <row r="7" spans="2:9" x14ac:dyDescent="0.25">
      <c r="B7" s="27" t="str">
        <f t="shared" si="0"/>
        <v>Conservador-Desenvolvimento</v>
      </c>
      <c r="C7" s="5" t="s">
        <v>28</v>
      </c>
      <c r="D7" s="28" t="s">
        <v>25</v>
      </c>
      <c r="E7" s="27">
        <v>0.1</v>
      </c>
    </row>
    <row r="8" spans="2:9" x14ac:dyDescent="0.25">
      <c r="B8" s="27" t="str">
        <f t="shared" si="0"/>
        <v>Conservador-FOF's</v>
      </c>
      <c r="C8" s="5" t="s">
        <v>28</v>
      </c>
      <c r="D8" s="28" t="s">
        <v>30</v>
      </c>
      <c r="E8" s="27">
        <v>0</v>
      </c>
    </row>
    <row r="9" spans="2:9" x14ac:dyDescent="0.25">
      <c r="B9" s="29" t="str">
        <f t="shared" si="0"/>
        <v>Conservador-Hotelarias</v>
      </c>
      <c r="C9" s="30" t="s">
        <v>28</v>
      </c>
      <c r="D9" s="31" t="s">
        <v>26</v>
      </c>
      <c r="E9" s="29">
        <v>0</v>
      </c>
    </row>
    <row r="10" spans="2:9" x14ac:dyDescent="0.25">
      <c r="B10" s="25" t="str">
        <f t="shared" si="0"/>
        <v>Moderado-Papel</v>
      </c>
      <c r="C10" s="25" t="s">
        <v>31</v>
      </c>
      <c r="D10" s="26" t="s">
        <v>22</v>
      </c>
      <c r="E10" s="24">
        <v>0.32</v>
      </c>
    </row>
    <row r="11" spans="2:9" x14ac:dyDescent="0.25">
      <c r="B11" s="5" t="str">
        <f t="shared" si="0"/>
        <v>Moderado-Tijolo</v>
      </c>
      <c r="C11" s="5" t="s">
        <v>31</v>
      </c>
      <c r="D11" s="28" t="s">
        <v>23</v>
      </c>
      <c r="E11" s="27">
        <v>0.35</v>
      </c>
    </row>
    <row r="12" spans="2:9" x14ac:dyDescent="0.25">
      <c r="B12" s="5" t="str">
        <f t="shared" si="0"/>
        <v>Moderado-Hibridos</v>
      </c>
      <c r="C12" s="5" t="s">
        <v>31</v>
      </c>
      <c r="D12" s="28" t="s">
        <v>24</v>
      </c>
      <c r="E12" s="27">
        <v>0.08</v>
      </c>
    </row>
    <row r="13" spans="2:9" x14ac:dyDescent="0.25">
      <c r="B13" s="5" t="str">
        <f t="shared" si="0"/>
        <v>Moderado-Desenvolvimento</v>
      </c>
      <c r="C13" s="5" t="s">
        <v>31</v>
      </c>
      <c r="D13" s="28" t="s">
        <v>25</v>
      </c>
      <c r="E13" s="27">
        <v>0.1</v>
      </c>
    </row>
    <row r="14" spans="2:9" x14ac:dyDescent="0.25">
      <c r="B14" s="5" t="str">
        <f t="shared" si="0"/>
        <v>Moderado-FOF's</v>
      </c>
      <c r="C14" s="5" t="s">
        <v>31</v>
      </c>
      <c r="D14" s="28" t="s">
        <v>30</v>
      </c>
      <c r="E14" s="27">
        <v>0.05</v>
      </c>
    </row>
    <row r="15" spans="2:9" x14ac:dyDescent="0.25">
      <c r="B15" s="30" t="str">
        <f t="shared" si="0"/>
        <v>Moderado-Hotelarias</v>
      </c>
      <c r="C15" s="30" t="s">
        <v>31</v>
      </c>
      <c r="D15" s="31" t="s">
        <v>26</v>
      </c>
      <c r="E15" s="29">
        <v>0.1</v>
      </c>
    </row>
    <row r="16" spans="2:9" x14ac:dyDescent="0.25">
      <c r="B16" s="25" t="str">
        <f t="shared" si="0"/>
        <v>Agressivo-Papel</v>
      </c>
      <c r="C16" s="25" t="s">
        <v>32</v>
      </c>
      <c r="D16" s="26" t="s">
        <v>22</v>
      </c>
      <c r="E16" s="24">
        <v>0.5</v>
      </c>
    </row>
    <row r="17" spans="2:5" x14ac:dyDescent="0.25">
      <c r="B17" s="5" t="str">
        <f t="shared" si="0"/>
        <v>Agressivo-Tijolo</v>
      </c>
      <c r="C17" s="5" t="s">
        <v>32</v>
      </c>
      <c r="D17" s="28" t="s">
        <v>23</v>
      </c>
      <c r="E17" s="27">
        <v>0.1</v>
      </c>
    </row>
    <row r="18" spans="2:5" x14ac:dyDescent="0.25">
      <c r="B18" s="5" t="str">
        <f t="shared" si="0"/>
        <v>Agressivo-Hibridos</v>
      </c>
      <c r="C18" s="5" t="s">
        <v>32</v>
      </c>
      <c r="D18" s="28" t="s">
        <v>24</v>
      </c>
      <c r="E18" s="27">
        <v>0.05</v>
      </c>
    </row>
    <row r="19" spans="2:5" x14ac:dyDescent="0.25">
      <c r="B19" s="5" t="str">
        <f t="shared" si="0"/>
        <v>Agressivo-Desenvolvimento</v>
      </c>
      <c r="C19" s="5" t="s">
        <v>32</v>
      </c>
      <c r="D19" s="28" t="s">
        <v>25</v>
      </c>
      <c r="E19" s="27">
        <v>0.2</v>
      </c>
    </row>
    <row r="20" spans="2:5" x14ac:dyDescent="0.25">
      <c r="B20" s="5" t="str">
        <f t="shared" si="0"/>
        <v>Agressivo-FOF's</v>
      </c>
      <c r="C20" s="5" t="s">
        <v>32</v>
      </c>
      <c r="D20" s="28" t="s">
        <v>30</v>
      </c>
      <c r="E20" s="27">
        <v>0.05</v>
      </c>
    </row>
    <row r="21" spans="2:5" x14ac:dyDescent="0.25">
      <c r="B21" s="30" t="str">
        <f t="shared" si="0"/>
        <v>Agressivo-Hotelarias</v>
      </c>
      <c r="C21" s="30" t="s">
        <v>32</v>
      </c>
      <c r="D21" s="31" t="s">
        <v>26</v>
      </c>
      <c r="E21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qntd_anos</vt:lpstr>
      <vt:lpstr>rendimento_carteira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Souza Santos</dc:creator>
  <cp:lastModifiedBy>Débora Souza Santos</cp:lastModifiedBy>
  <dcterms:created xsi:type="dcterms:W3CDTF">2026-09-21T17:56:58Z</dcterms:created>
  <dcterms:modified xsi:type="dcterms:W3CDTF">2026-09-21T22:17:06Z</dcterms:modified>
</cp:coreProperties>
</file>